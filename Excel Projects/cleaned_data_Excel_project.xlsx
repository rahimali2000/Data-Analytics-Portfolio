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4400e5ab305ee6/Documents/"/>
    </mc:Choice>
  </mc:AlternateContent>
  <xr:revisionPtr revIDLastSave="0" documentId="8_{F9E7F715-1527-47E3-A503-021B5E00A394}" xr6:coauthVersionLast="47" xr6:coauthVersionMax="47" xr10:uidLastSave="{00000000-0000-0000-0000-000000000000}"/>
  <bookViews>
    <workbookView xWindow="-108" yWindow="-108" windowWidth="23256" windowHeight="12576" xr2:uid="{03F1AB21-7573-4EE5-B897-B1A6434AF330}"/>
  </bookViews>
  <sheets>
    <sheet name="IF - Statement" sheetId="1" r:id="rId1"/>
    <sheet name="VLOOKUP" sheetId="2" r:id="rId2"/>
    <sheet name="Split &amp; Trim" sheetId="3" r:id="rId3"/>
    <sheet name="Concatenate" sheetId="4" r:id="rId4"/>
    <sheet name="Pivottable &amp; Pivotchat" sheetId="5" r:id="rId5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" i="4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3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" i="2"/>
  <c r="D9" i="1"/>
  <c r="D10" i="1"/>
  <c r="D8" i="1"/>
  <c r="D3" i="1"/>
  <c r="D4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saisoy</author>
  </authors>
  <commentList>
    <comment ref="D1" authorId="0" shapeId="0" xr:uid="{31388089-389C-4B2B-8EC0-6AB9F1B49854}">
      <text>
        <r>
          <rPr>
            <b/>
            <sz val="14"/>
            <color indexed="81"/>
            <rFont val="Tahoma"/>
            <family val="2"/>
          </rPr>
          <t>saisoy:</t>
        </r>
        <r>
          <rPr>
            <sz val="14"/>
            <color indexed="81"/>
            <rFont val="Tahoma"/>
            <family val="2"/>
          </rPr>
          <t xml:space="preserve">
If the sales figure meets or exceeds the target, a BONUS is calculated. 
E.g. 2% of Sales </t>
        </r>
      </text>
    </comment>
    <comment ref="D7" authorId="0" shapeId="0" xr:uid="{96A6760E-6C4B-4499-B605-47D2DDE256E6}">
      <text>
        <r>
          <rPr>
            <b/>
            <sz val="14"/>
            <color indexed="81"/>
            <rFont val="Tahoma"/>
            <family val="2"/>
          </rPr>
          <t>saisoy:</t>
        </r>
        <r>
          <rPr>
            <sz val="14"/>
            <color indexed="81"/>
            <rFont val="Tahoma"/>
            <family val="2"/>
          </rPr>
          <t xml:space="preserve">
Display a message "BONUS" or "NO BONUS" instead of figures. </t>
        </r>
      </text>
    </comment>
  </commentList>
</comments>
</file>

<file path=xl/sharedStrings.xml><?xml version="1.0" encoding="utf-8"?>
<sst xmlns="http://schemas.openxmlformats.org/spreadsheetml/2006/main" count="276" uniqueCount="152">
  <si>
    <t>Name</t>
  </si>
  <si>
    <t>Sales</t>
  </si>
  <si>
    <t>Target</t>
  </si>
  <si>
    <t>Bonus</t>
  </si>
  <si>
    <t>Bill</t>
  </si>
  <si>
    <t>&lt;&lt;&lt; EMPLOYEES RECEIVE 2% OF THEIR SALES WHEN TARGET IS ACHIEVED IF NOT FAILED</t>
  </si>
  <si>
    <t>Paul</t>
  </si>
  <si>
    <t>Dele</t>
  </si>
  <si>
    <t>&lt;&lt;&lt; EMPLOYEES ARE PROMOTED OR SACKED BASED ON THEIR SALES/TARGET</t>
  </si>
  <si>
    <t>Bouns</t>
  </si>
  <si>
    <t>excel</t>
  </si>
  <si>
    <r>
      <t>Rule:</t>
    </r>
    <r>
      <rPr>
        <sz val="14"/>
        <color theme="1"/>
        <rFont val="Aptos Narrow"/>
        <family val="2"/>
        <scheme val="minor"/>
      </rPr>
      <t xml:space="preserve"> Employees get 2% of their sales, but only IF they hit their target. If they failed (sales &lt; target), no bonus.</t>
    </r>
  </si>
  <si>
    <r>
      <t xml:space="preserve">For the </t>
    </r>
    <r>
      <rPr>
        <b/>
        <sz val="14"/>
        <color theme="1"/>
        <rFont val="Aptos Narrow"/>
        <family val="2"/>
        <scheme val="minor"/>
      </rPr>
      <t>Bonus</t>
    </r>
    <r>
      <rPr>
        <sz val="14"/>
        <color theme="1"/>
        <rFont val="Aptos Narrow"/>
        <family val="2"/>
        <scheme val="minor"/>
      </rPr>
      <t xml:space="preserve"> cell (let's say sales is in B2, target is in C2):</t>
    </r>
  </si>
  <si>
    <t xml:space="preserve"> "B2=IF(B2&gt;=C2, B2*2%, "No Bonus)"</t>
  </si>
  <si>
    <t>Or if "failed" means no bonus at all.</t>
  </si>
  <si>
    <t>Employee Name</t>
  </si>
  <si>
    <t>Job Rating</t>
  </si>
  <si>
    <t>JOB RATING</t>
  </si>
  <si>
    <t>BONUS</t>
  </si>
  <si>
    <t>Sani Abacha</t>
  </si>
  <si>
    <t>Moshood Abiola</t>
  </si>
  <si>
    <t>Abdulsalami Abubakar</t>
  </si>
  <si>
    <t>Atiku Abubakar</t>
  </si>
  <si>
    <t>Johnson Aguiyi-Ironsi</t>
  </si>
  <si>
    <t>Adebayo Alao Akala</t>
  </si>
  <si>
    <t>Samuel Akintola</t>
  </si>
  <si>
    <t>Dora Akunyili</t>
  </si>
  <si>
    <t>Anyim Pius Anyim</t>
  </si>
  <si>
    <t>Iyorchia Ayu</t>
  </si>
  <si>
    <t>Obafemi Awolowo</t>
  </si>
  <si>
    <t>Nnamdi Azikiwe</t>
  </si>
  <si>
    <t>Ibrahim Babangida</t>
  </si>
  <si>
    <t>Abubakar Tafawa Balewa</t>
  </si>
  <si>
    <t>Dimeji Bankole</t>
  </si>
  <si>
    <t>Ahmadu Bello</t>
  </si>
  <si>
    <t>Muhammadu Buhari</t>
  </si>
  <si>
    <t>Sullivan Chime</t>
  </si>
  <si>
    <t>Gbenga Daniel</t>
  </si>
  <si>
    <t>Oladipo Diya</t>
  </si>
  <si>
    <t>Philip Effiong</t>
  </si>
  <si>
    <t>Margaret Ekpo</t>
  </si>
  <si>
    <t>Ike Ekweremadu</t>
  </si>
  <si>
    <t>Alex Ekwueme</t>
  </si>
  <si>
    <t>Joy Emodi</t>
  </si>
  <si>
    <t>Breaking down the formula</t>
  </si>
  <si>
    <t>Take row 2 (Sani Abacha, rating = 1):</t>
  </si>
  <si>
    <r>
      <t>Employee table (A:C)</t>
    </r>
    <r>
      <rPr>
        <sz val="14"/>
        <color theme="1"/>
        <rFont val="Aptos Narrow"/>
        <family val="2"/>
        <scheme val="minor"/>
      </rPr>
      <t xml:space="preserve"> — each person has a Job Rating in column B, and needs a matching Bonus in column C.</t>
    </r>
  </si>
  <si>
    <t>"=VLOOKUP(B2, $E$2:$F$6, 2, FALSE)"</t>
  </si>
  <si>
    <t>EXPLANATION</t>
  </si>
  <si>
    <r>
      <t xml:space="preserve">Assign their merited bonuses using VLOOKUP </t>
    </r>
    <r>
      <rPr>
        <b/>
        <i/>
        <sz val="14"/>
        <rFont val="Arial"/>
        <family val="2"/>
      </rPr>
      <t>NOT</t>
    </r>
    <r>
      <rPr>
        <i/>
        <sz val="14"/>
        <rFont val="Arial"/>
        <family val="2"/>
      </rPr>
      <t xml:space="preserve"> NESTED IF.</t>
    </r>
  </si>
  <si>
    <t>Contact</t>
  </si>
  <si>
    <t xml:space="preserve">   Watanuki, Cathy</t>
  </si>
  <si>
    <t xml:space="preserve"> Hendricks,    Eric</t>
  </si>
  <si>
    <t>Baker,    Mark</t>
  </si>
  <si>
    <t>Catalano,      Robert</t>
  </si>
  <si>
    <t>Chambers, Karen</t>
  </si>
  <si>
    <t>Eaton, Jeffrey</t>
  </si>
  <si>
    <t>Fier, Marilyn</t>
  </si>
  <si>
    <t>Fitzgerald, Jackie</t>
  </si>
  <si>
    <t>Hansen, Sheila</t>
  </si>
  <si>
    <t xml:space="preserve">  Harvey, Harlon</t>
  </si>
  <si>
    <t>Konopka, Robert</t>
  </si>
  <si>
    <t xml:space="preserve">Long, Ryan  </t>
  </si>
  <si>
    <t xml:space="preserve">  Macdonald, Mark</t>
  </si>
  <si>
    <t>Nichols, Don</t>
  </si>
  <si>
    <t>O'Brien, Donna</t>
  </si>
  <si>
    <t>Perez, Barney</t>
  </si>
  <si>
    <t>Priem, George</t>
  </si>
  <si>
    <t>Tidwell, Liesl</t>
  </si>
  <si>
    <t>Wagner, Max</t>
  </si>
  <si>
    <t>Separate and clean the data</t>
  </si>
  <si>
    <t>contact_name</t>
  </si>
  <si>
    <t>last_name</t>
  </si>
  <si>
    <t>first_name</t>
  </si>
  <si>
    <t>What happened</t>
  </si>
  <si>
    <t>Every row was correctly separated at the comma and had its extra spaces stripped, using:</t>
  </si>
  <si>
    <r>
      <t>Column A</t>
    </r>
    <r>
      <rPr>
        <sz val="14"/>
        <color theme="1"/>
        <rFont val="Aptos Narrow"/>
        <family val="2"/>
        <scheme val="minor"/>
      </rPr>
      <t xml:space="preserve"> (</t>
    </r>
    <r>
      <rPr>
        <sz val="14"/>
        <color theme="1"/>
        <rFont val="Arial Unicode MS"/>
        <family val="2"/>
      </rPr>
      <t>contact_name</t>
    </r>
    <r>
      <rPr>
        <sz val="14"/>
        <color theme="1"/>
        <rFont val="Aptos Narrow"/>
        <family val="2"/>
        <scheme val="minor"/>
      </rPr>
      <t xml:space="preserve">): original messy data: </t>
    </r>
    <r>
      <rPr>
        <sz val="14"/>
        <color theme="1"/>
        <rFont val="Arial Unicode MS"/>
        <family val="2"/>
      </rPr>
      <t>" Watanuki, Cathy"</t>
    </r>
    <r>
      <rPr>
        <sz val="14"/>
        <color theme="1"/>
        <rFont val="Aptos Narrow"/>
        <family val="2"/>
        <scheme val="minor"/>
      </rPr>
      <t xml:space="preserve">, </t>
    </r>
    <r>
      <rPr>
        <sz val="14"/>
        <color theme="1"/>
        <rFont val="Arial Unicode MS"/>
        <family val="2"/>
      </rPr>
      <t>"Catalano, Robert"</t>
    </r>
    <r>
      <rPr>
        <sz val="14"/>
        <color theme="1"/>
        <rFont val="Aptos Narrow"/>
        <family val="2"/>
        <scheme val="minor"/>
      </rPr>
      <t>, etc., with inconsistent spacing</t>
    </r>
  </si>
  <si>
    <r>
      <t>Column B</t>
    </r>
    <r>
      <rPr>
        <sz val="14"/>
        <color theme="1"/>
        <rFont val="Aptos Narrow"/>
        <family val="2"/>
        <scheme val="minor"/>
      </rPr>
      <t xml:space="preserve"> (</t>
    </r>
    <r>
      <rPr>
        <sz val="14"/>
        <color theme="1"/>
        <rFont val="Arial Unicode MS"/>
        <family val="2"/>
      </rPr>
      <t>last_name</t>
    </r>
    <r>
      <rPr>
        <sz val="14"/>
        <color theme="1"/>
        <rFont val="Aptos Narrow"/>
        <family val="2"/>
        <scheme val="minor"/>
      </rPr>
      <t xml:space="preserve">): cleaned, split-out last names: e.g. </t>
    </r>
    <r>
      <rPr>
        <sz val="14"/>
        <color theme="1"/>
        <rFont val="Arial Unicode MS"/>
        <family val="2"/>
      </rPr>
      <t>Watanuki</t>
    </r>
    <r>
      <rPr>
        <sz val="14"/>
        <color theme="1"/>
        <rFont val="Aptos Narrow"/>
        <family val="2"/>
        <scheme val="minor"/>
      </rPr>
      <t xml:space="preserve">, </t>
    </r>
    <r>
      <rPr>
        <sz val="14"/>
        <color theme="1"/>
        <rFont val="Arial Unicode MS"/>
        <family val="2"/>
      </rPr>
      <t>Catalano</t>
    </r>
  </si>
  <si>
    <r>
      <t>Column C</t>
    </r>
    <r>
      <rPr>
        <sz val="14"/>
        <color theme="1"/>
        <rFont val="Aptos Narrow"/>
        <family val="2"/>
        <scheme val="minor"/>
      </rPr>
      <t xml:space="preserve"> (</t>
    </r>
    <r>
      <rPr>
        <sz val="14"/>
        <color theme="1"/>
        <rFont val="Arial Unicode MS"/>
        <family val="2"/>
      </rPr>
      <t>first_name</t>
    </r>
    <r>
      <rPr>
        <sz val="14"/>
        <color theme="1"/>
        <rFont val="Aptos Narrow"/>
        <family val="2"/>
        <scheme val="minor"/>
      </rPr>
      <t xml:space="preserve">): cleaned, split-out first names: e.g. </t>
    </r>
    <r>
      <rPr>
        <sz val="14"/>
        <color theme="1"/>
        <rFont val="Arial Unicode MS"/>
        <family val="2"/>
      </rPr>
      <t>Cathy</t>
    </r>
    <r>
      <rPr>
        <sz val="14"/>
        <color theme="1"/>
        <rFont val="Aptos Narrow"/>
        <family val="2"/>
        <scheme val="minor"/>
      </rPr>
      <t xml:space="preserve">, </t>
    </r>
    <r>
      <rPr>
        <sz val="14"/>
        <color theme="1"/>
        <rFont val="Arial Unicode MS"/>
        <family val="2"/>
      </rPr>
      <t>Robert</t>
    </r>
  </si>
  <si>
    <t>"=TRIM(LEFT(A3,FIND(",",A3)-1))"       last_name</t>
  </si>
  <si>
    <t>"=TRIM(MID(A3,FIND(",",A3)+1,100))"    first_name</t>
  </si>
  <si>
    <t>excel formula</t>
  </si>
  <si>
    <r>
      <t xml:space="preserve"> </t>
    </r>
    <r>
      <rPr>
        <sz val="14"/>
        <color theme="1"/>
        <rFont val="Arial Unicode MS"/>
        <family val="2"/>
      </rPr>
      <t>"Catalano, Robert"</t>
    </r>
    <r>
      <rPr>
        <sz val="14"/>
        <color theme="1"/>
        <rFont val="Aptos Narrow"/>
        <family val="2"/>
        <scheme val="minor"/>
      </rPr>
      <t xml:space="preserve"> (with extra spaces after the comma) correctly became </t>
    </r>
    <r>
      <rPr>
        <sz val="14"/>
        <color theme="1"/>
        <rFont val="Arial Unicode MS"/>
        <family val="2"/>
      </rPr>
      <t>Catalano Robert</t>
    </r>
    <r>
      <rPr>
        <sz val="14"/>
        <color theme="1"/>
        <rFont val="Aptos Narrow"/>
        <family val="2"/>
        <scheme val="minor"/>
      </rPr>
      <t xml:space="preserve">  no leftover spaces, exactly as the instruction "separate and clean the data" required.</t>
    </r>
  </si>
  <si>
    <t>For example</t>
  </si>
  <si>
    <t>First</t>
  </si>
  <si>
    <t>Last</t>
  </si>
  <si>
    <t>Mark</t>
  </si>
  <si>
    <t>Baker</t>
  </si>
  <si>
    <t>S</t>
  </si>
  <si>
    <t>Sheila</t>
  </si>
  <si>
    <t>Hansen</t>
  </si>
  <si>
    <t>Marilyn</t>
  </si>
  <si>
    <t>Fier</t>
  </si>
  <si>
    <t>F</t>
  </si>
  <si>
    <t>Morris</t>
  </si>
  <si>
    <t>Jussi</t>
  </si>
  <si>
    <t>Björling</t>
  </si>
  <si>
    <t>G</t>
  </si>
  <si>
    <t>Ryan</t>
  </si>
  <si>
    <t>Long</t>
  </si>
  <si>
    <t>H</t>
  </si>
  <si>
    <t>Jackie</t>
  </si>
  <si>
    <t>Fitzgerald</t>
  </si>
  <si>
    <t>B</t>
  </si>
  <si>
    <t>Riccardo</t>
  </si>
  <si>
    <t>Muti</t>
  </si>
  <si>
    <t>Liesl</t>
  </si>
  <si>
    <t>Tidwell</t>
  </si>
  <si>
    <t>Jeffrey</t>
  </si>
  <si>
    <t>Eaton</t>
  </si>
  <si>
    <t>N</t>
  </si>
  <si>
    <t>Karen</t>
  </si>
  <si>
    <t>Chambers</t>
  </si>
  <si>
    <t>Barney</t>
  </si>
  <si>
    <t>Perez</t>
  </si>
  <si>
    <t>E</t>
  </si>
  <si>
    <t>Cathy</t>
  </si>
  <si>
    <t>Watanuki</t>
  </si>
  <si>
    <t>George</t>
  </si>
  <si>
    <t>Porter</t>
  </si>
  <si>
    <t>Max</t>
  </si>
  <si>
    <t>Wagner</t>
  </si>
  <si>
    <t>Robert</t>
  </si>
  <si>
    <t>Konopka</t>
  </si>
  <si>
    <t>Don</t>
  </si>
  <si>
    <t>Nichols</t>
  </si>
  <si>
    <t>W</t>
  </si>
  <si>
    <t>Harlon</t>
  </si>
  <si>
    <t>Harvey</t>
  </si>
  <si>
    <r>
      <t xml:space="preserve">Join their names their middle name like this </t>
    </r>
    <r>
      <rPr>
        <b/>
        <sz val="14"/>
        <rFont val="Calibri"/>
        <family val="2"/>
      </rPr>
      <t xml:space="preserve"> Mark S. Baker</t>
    </r>
  </si>
  <si>
    <t>Middle</t>
  </si>
  <si>
    <t>Full-Name</t>
  </si>
  <si>
    <t>Reimbursable Expenses</t>
  </si>
  <si>
    <t>Agent</t>
  </si>
  <si>
    <t>Date</t>
  </si>
  <si>
    <t>Type</t>
  </si>
  <si>
    <t>Amount</t>
  </si>
  <si>
    <t>David Lewis</t>
  </si>
  <si>
    <t>Meals</t>
  </si>
  <si>
    <t>Janet Smith</t>
  </si>
  <si>
    <t>Lodging</t>
  </si>
  <si>
    <t>Juan Rodriguez</t>
  </si>
  <si>
    <t>Mileage</t>
  </si>
  <si>
    <t>Misc.</t>
  </si>
  <si>
    <t>Mitch Holbrook</t>
  </si>
  <si>
    <t>Office</t>
  </si>
  <si>
    <t>Mary Olson</t>
  </si>
  <si>
    <t>use Pivot chart to show the 10 best sales</t>
  </si>
  <si>
    <t>???</t>
  </si>
  <si>
    <t>Using the formula:</t>
  </si>
  <si>
    <r>
      <t xml:space="preserve">Every row correctly combined First + Middle initial + Last into one clean </t>
    </r>
    <r>
      <rPr>
        <b/>
        <sz val="14"/>
        <color theme="1"/>
        <rFont val="Aptos Narrow"/>
        <family val="2"/>
        <scheme val="minor"/>
      </rPr>
      <t>Full-Name</t>
    </r>
    <r>
      <rPr>
        <sz val="14"/>
        <color theme="1"/>
        <rFont val="Aptos Narrow"/>
        <family val="2"/>
        <scheme val="minor"/>
      </rPr>
      <t xml:space="preserve"> column:</t>
    </r>
  </si>
  <si>
    <t>"=A2 &amp; " " &amp; IF(C2="","",C2&amp;". ") &amp; B2"   -   Mark S. Baker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</si>
</sst>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Arial"/>
      <family val="2"/>
    </font>
    <font>
      <b/>
      <sz val="14"/>
      <color rgb="FFFF0000"/>
      <name val="Arial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14"/>
      <name val="Arial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14181F"/>
      <name val="Var(--font-mono)"/>
    </font>
    <font>
      <i/>
      <sz val="14"/>
      <name val="Arial"/>
      <family val="2"/>
    </font>
    <font>
      <b/>
      <i/>
      <sz val="14"/>
      <name val="Arial"/>
      <family val="2"/>
    </font>
    <font>
      <sz val="10"/>
      <name val="Arial"/>
      <family val="2"/>
    </font>
    <font>
      <b/>
      <sz val="14"/>
      <name val="Calibri"/>
      <family val="2"/>
    </font>
    <font>
      <sz val="14"/>
      <name val="Calibri"/>
      <family val="2"/>
    </font>
    <font>
      <sz val="14"/>
      <color theme="1"/>
      <name val="Arial Unicode MS"/>
      <family val="2"/>
    </font>
    <font>
      <b/>
      <sz val="14"/>
      <color theme="3"/>
      <name val="Arial"/>
      <family val="2"/>
    </font>
    <font>
      <b/>
      <sz val="7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rgb="FFCC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2" fillId="0" borderId="0"/>
  </cellStyleXfs>
  <cellXfs count="2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2" fillId="0" borderId="2" xfId="0" applyFont="1" applyBorder="1"/>
    <xf numFmtId="0" fontId="7" fillId="0" borderId="0" xfId="0" applyFont="1"/>
    <xf numFmtId="0" fontId="8" fillId="0" borderId="0" xfId="0" applyFont="1"/>
    <xf numFmtId="0" fontId="8" fillId="2" borderId="0" xfId="0" applyFont="1" applyFill="1"/>
    <xf numFmtId="0" fontId="9" fillId="0" borderId="0" xfId="0" applyFont="1" applyAlignment="1">
      <alignment vertical="center"/>
    </xf>
    <xf numFmtId="0" fontId="6" fillId="3" borderId="3" xfId="0" applyFont="1" applyFill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3" fontId="2" fillId="0" borderId="3" xfId="0" applyNumberFormat="1" applyFont="1" applyBorder="1"/>
    <xf numFmtId="0" fontId="10" fillId="0" borderId="0" xfId="0" applyFont="1"/>
    <xf numFmtId="0" fontId="8" fillId="0" borderId="0" xfId="0" applyFont="1" applyAlignment="1">
      <alignment vertical="center"/>
    </xf>
    <xf numFmtId="0" fontId="0" fillId="2" borderId="0" xfId="0" applyFill="1"/>
    <xf numFmtId="0" fontId="13" fillId="0" borderId="0" xfId="2" applyFont="1"/>
    <xf numFmtId="0" fontId="14" fillId="0" borderId="0" xfId="2" applyFont="1"/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16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14" fontId="7" fillId="0" borderId="0" xfId="0" applyNumberFormat="1" applyFont="1"/>
    <xf numFmtId="44" fontId="7" fillId="0" borderId="0" xfId="1" applyFont="1"/>
    <xf numFmtId="44" fontId="7" fillId="0" borderId="0" xfId="1" applyFont="1" applyFill="1"/>
    <xf numFmtId="0" fontId="17" fillId="0" borderId="0" xfId="0" applyFont="1"/>
    <xf numFmtId="0" fontId="2" fillId="5" borderId="0" xfId="0" applyFont="1" applyFill="1"/>
  </cellXfs>
  <cellStyles count="3">
    <cellStyle name="Currency" xfId="1" builtinId="4"/>
    <cellStyle name="Normal" xfId="0" builtinId="0"/>
    <cellStyle name="Normal 2" xfId="2" xr:uid="{A25DC672-20F8-4B76-8973-B181859B6A9B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</dxf>
    <dxf>
      <border outline="0"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78BEB9-519C-48E7-AF67-FAA3847B920A}" name="Table1" displayName="Table1" ref="A1:D4" totalsRowShown="0" headerRowDxfId="6" tableBorderDxfId="11">
  <autoFilter ref="A1:D4" xr:uid="{9D78BEB9-519C-48E7-AF67-FAA3847B920A}"/>
  <tableColumns count="4">
    <tableColumn id="1" xr3:uid="{393DB44F-C661-4651-A383-059E038E0A69}" name="Name" dataDxfId="10"/>
    <tableColumn id="2" xr3:uid="{BC9FBA64-9F9E-4740-A109-D3CC81FFD4B2}" name="Sales" dataDxfId="9"/>
    <tableColumn id="3" xr3:uid="{CE1B25C4-5CAB-4E77-9D3E-000E1EDD3267}" name="Target" dataDxfId="8"/>
    <tableColumn id="4" xr3:uid="{CB18B039-01A1-4D34-9A22-B5808D39B108}" name="Bonus" dataDxfId="7">
      <calculatedColumnFormula>IF(B2&gt;=C2, B2*2%, "No Bonus")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77D4FF-822D-4F43-9D3B-FB5004A82361}" name="Table2" displayName="Table2" ref="A7:D10" totalsRowShown="0" headerRowDxfId="0" tableBorderDxfId="5">
  <autoFilter ref="A7:D10" xr:uid="{6377D4FF-822D-4F43-9D3B-FB5004A82361}"/>
  <tableColumns count="4">
    <tableColumn id="1" xr3:uid="{E3DF6947-89F4-4507-A7E3-EBA0542BEAFB}" name="Name" dataDxfId="4"/>
    <tableColumn id="2" xr3:uid="{727E69E6-863C-4A53-B432-F54A7AF3A8F8}" name="Sales" dataDxfId="3"/>
    <tableColumn id="3" xr3:uid="{0AE583AE-743E-49D3-83F6-E2B650F816AA}" name="Target" dataDxfId="2"/>
    <tableColumn id="4" xr3:uid="{9483D314-580D-4EFA-BFFF-A4D77B5EF711}" name="Bouns" dataDxfId="1">
      <calculatedColumnFormula>IF(B2&gt;=C2, B2*2%, "No Bouns")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5A878-9C10-46E1-A3E6-85EA2B5D43EB}">
  <sheetPr>
    <tabColor rgb="FF92D050"/>
  </sheetPr>
  <dimension ref="A1:H27"/>
  <sheetViews>
    <sheetView tabSelected="1" topLeftCell="A9" workbookViewId="0">
      <selection activeCell="F15" sqref="F15"/>
    </sheetView>
  </sheetViews>
  <sheetFormatPr defaultRowHeight="14.4"/>
  <cols>
    <col min="1" max="1" width="9.77734375" customWidth="1"/>
    <col min="2" max="2" width="9.6640625" customWidth="1"/>
    <col min="3" max="3" width="10.88671875" customWidth="1"/>
    <col min="4" max="4" width="12.33203125" bestFit="1" customWidth="1"/>
    <col min="6" max="6" width="16.109375" bestFit="1" customWidth="1"/>
    <col min="7" max="7" width="113.109375" bestFit="1" customWidth="1"/>
  </cols>
  <sheetData>
    <row r="1" spans="1:8" ht="17.399999999999999">
      <c r="A1" s="1" t="s">
        <v>0</v>
      </c>
      <c r="B1" s="2" t="s">
        <v>1</v>
      </c>
      <c r="C1" s="2" t="s">
        <v>2</v>
      </c>
      <c r="D1" s="4" t="s">
        <v>3</v>
      </c>
      <c r="E1" s="3"/>
      <c r="F1" s="1"/>
      <c r="G1" s="1"/>
      <c r="H1" s="1"/>
    </row>
    <row r="2" spans="1:8" ht="17.399999999999999">
      <c r="A2" s="1" t="s">
        <v>4</v>
      </c>
      <c r="B2" s="2">
        <v>580</v>
      </c>
      <c r="C2" s="2">
        <v>640</v>
      </c>
      <c r="D2" s="4" t="str">
        <f>IF(B2&gt;=C2, B2*2%, "No Bonus")</f>
        <v>No Bonus</v>
      </c>
      <c r="E2" s="1" t="s">
        <v>5</v>
      </c>
      <c r="F2" s="1"/>
      <c r="G2" s="1"/>
      <c r="H2" s="1"/>
    </row>
    <row r="3" spans="1:8" ht="17.399999999999999">
      <c r="A3" s="1" t="s">
        <v>6</v>
      </c>
      <c r="B3" s="2">
        <v>1200</v>
      </c>
      <c r="C3" s="2">
        <v>1000</v>
      </c>
      <c r="D3" s="4">
        <f t="shared" ref="D3:D4" si="0">IF(B3&gt;=C3, B3*2%, "No Bonus")</f>
        <v>24</v>
      </c>
      <c r="E3" s="1"/>
      <c r="F3" s="1"/>
      <c r="G3" s="1"/>
      <c r="H3" s="1"/>
    </row>
    <row r="4" spans="1:8" ht="17.399999999999999">
      <c r="A4" s="1" t="s">
        <v>7</v>
      </c>
      <c r="B4" s="2">
        <v>710</v>
      </c>
      <c r="C4" s="2">
        <v>700</v>
      </c>
      <c r="D4" s="4">
        <f t="shared" si="0"/>
        <v>14.200000000000001</v>
      </c>
      <c r="E4" s="1"/>
      <c r="F4" s="1"/>
      <c r="G4" s="1"/>
      <c r="H4" s="1"/>
    </row>
    <row r="5" spans="1:8" ht="17.399999999999999">
      <c r="A5" s="1"/>
      <c r="B5" s="2"/>
      <c r="C5" s="2"/>
      <c r="D5" s="2"/>
      <c r="E5" s="1"/>
      <c r="F5" s="1"/>
      <c r="G5" s="1"/>
      <c r="H5" s="1"/>
    </row>
    <row r="6" spans="1:8" ht="17.399999999999999">
      <c r="A6" s="1"/>
      <c r="B6" s="2"/>
      <c r="C6" s="2"/>
      <c r="D6" s="2"/>
      <c r="E6" s="1"/>
      <c r="F6" s="1"/>
      <c r="G6" s="1"/>
      <c r="H6" s="1"/>
    </row>
    <row r="7" spans="1:8" ht="17.399999999999999">
      <c r="A7" s="1" t="s">
        <v>0</v>
      </c>
      <c r="B7" s="2" t="s">
        <v>1</v>
      </c>
      <c r="C7" s="2" t="s">
        <v>2</v>
      </c>
      <c r="D7" s="4" t="s">
        <v>9</v>
      </c>
      <c r="E7" s="1"/>
      <c r="F7" s="1"/>
      <c r="G7" s="1"/>
      <c r="H7" s="1"/>
    </row>
    <row r="8" spans="1:8" ht="17.399999999999999">
      <c r="A8" s="1" t="s">
        <v>4</v>
      </c>
      <c r="B8" s="2">
        <v>580</v>
      </c>
      <c r="C8" s="2">
        <v>640</v>
      </c>
      <c r="D8" s="4" t="str">
        <f>IF(B2&gt;=C2, B2*2%, "No Bouns")</f>
        <v>No Bouns</v>
      </c>
      <c r="E8" s="1" t="s">
        <v>8</v>
      </c>
      <c r="F8" s="1"/>
      <c r="G8" s="1"/>
      <c r="H8" s="1"/>
    </row>
    <row r="9" spans="1:8" ht="17.399999999999999">
      <c r="A9" s="1" t="s">
        <v>6</v>
      </c>
      <c r="B9" s="2">
        <v>1200</v>
      </c>
      <c r="C9" s="2">
        <v>1000</v>
      </c>
      <c r="D9" s="4">
        <f t="shared" ref="D9:D10" si="1">IF(B3&gt;=C3, B3*2%, "No Bouns")</f>
        <v>24</v>
      </c>
      <c r="E9" s="1"/>
      <c r="F9" s="1"/>
      <c r="G9" s="1"/>
      <c r="H9" s="1"/>
    </row>
    <row r="10" spans="1:8" ht="17.399999999999999">
      <c r="A10" s="1" t="s">
        <v>7</v>
      </c>
      <c r="B10" s="2">
        <v>710</v>
      </c>
      <c r="C10" s="2">
        <v>700</v>
      </c>
      <c r="D10" s="4">
        <f t="shared" si="1"/>
        <v>14.200000000000001</v>
      </c>
      <c r="E10" s="1"/>
      <c r="F10" s="1"/>
      <c r="G10" s="1"/>
      <c r="H10" s="1"/>
    </row>
    <row r="14" spans="1:8" ht="18">
      <c r="F14" s="7" t="s">
        <v>48</v>
      </c>
    </row>
    <row r="15" spans="1:8" ht="18">
      <c r="G15" s="6" t="s">
        <v>11</v>
      </c>
    </row>
    <row r="16" spans="1:8" ht="18">
      <c r="G16" s="5"/>
    </row>
    <row r="17" spans="7:7" ht="18">
      <c r="G17" s="5" t="s">
        <v>12</v>
      </c>
    </row>
    <row r="18" spans="7:7" ht="18">
      <c r="G18" s="5"/>
    </row>
    <row r="19" spans="7:7" ht="18">
      <c r="G19" s="5" t="s">
        <v>10</v>
      </c>
    </row>
    <row r="20" spans="7:7" ht="18">
      <c r="G20" s="5"/>
    </row>
    <row r="21" spans="7:7" ht="17.399999999999999">
      <c r="G21" s="8" t="s">
        <v>13</v>
      </c>
    </row>
    <row r="22" spans="7:7" ht="18">
      <c r="G22" s="5"/>
    </row>
    <row r="23" spans="7:7" ht="18">
      <c r="G23" s="5" t="s">
        <v>14</v>
      </c>
    </row>
    <row r="24" spans="7:7" ht="18">
      <c r="G24" s="5"/>
    </row>
    <row r="25" spans="7:7" ht="18">
      <c r="G25" s="5"/>
    </row>
    <row r="26" spans="7:7" ht="18">
      <c r="G26" s="5"/>
    </row>
    <row r="27" spans="7:7" ht="17.399999999999999">
      <c r="G27" s="8"/>
    </row>
  </sheetData>
  <pageMargins left="0.7" right="0.7" top="0.75" bottom="0.75" header="0.3" footer="0.3"/>
  <legacy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5C54C-3069-4CAE-88CF-7CA0A26F7E31}">
  <sheetPr>
    <tabColor rgb="FF00B0F0"/>
  </sheetPr>
  <dimension ref="A1:H26"/>
  <sheetViews>
    <sheetView topLeftCell="B4" workbookViewId="0">
      <selection activeCell="H9" sqref="H9"/>
    </sheetView>
  </sheetViews>
  <sheetFormatPr defaultRowHeight="14.4"/>
  <cols>
    <col min="1" max="1" width="30.21875" bestFit="1" customWidth="1"/>
    <col min="2" max="2" width="14.77734375" bestFit="1" customWidth="1"/>
    <col min="3" max="3" width="9.44140625" bestFit="1" customWidth="1"/>
    <col min="5" max="5" width="17.21875" bestFit="1" customWidth="1"/>
    <col min="6" max="6" width="10.5546875" bestFit="1" customWidth="1"/>
    <col min="7" max="7" width="16.109375" bestFit="1" customWidth="1"/>
    <col min="8" max="8" width="114.33203125" bestFit="1" customWidth="1"/>
  </cols>
  <sheetData>
    <row r="1" spans="1:8" ht="17.399999999999999">
      <c r="A1" s="9" t="s">
        <v>15</v>
      </c>
      <c r="B1" s="9" t="s">
        <v>16</v>
      </c>
      <c r="C1" s="9" t="s">
        <v>3</v>
      </c>
      <c r="E1" s="9" t="s">
        <v>17</v>
      </c>
      <c r="F1" s="9" t="s">
        <v>18</v>
      </c>
    </row>
    <row r="2" spans="1:8" ht="17.399999999999999">
      <c r="A2" s="10" t="s">
        <v>19</v>
      </c>
      <c r="B2" s="11">
        <v>1</v>
      </c>
      <c r="C2" s="12">
        <f>VLOOKUP(B2,$E$2:$F$6,2,FALSE())</f>
        <v>1000</v>
      </c>
      <c r="E2" s="11">
        <v>1</v>
      </c>
      <c r="F2" s="12">
        <v>1000</v>
      </c>
    </row>
    <row r="3" spans="1:8" ht="17.399999999999999">
      <c r="A3" s="10" t="s">
        <v>20</v>
      </c>
      <c r="B3" s="11">
        <v>4</v>
      </c>
      <c r="C3" s="12">
        <f t="shared" ref="C3:C26" si="0">VLOOKUP(B3,$E$2:$F$6,2,FALSE())</f>
        <v>4000</v>
      </c>
      <c r="E3" s="11">
        <v>2</v>
      </c>
      <c r="F3" s="12">
        <v>2000</v>
      </c>
    </row>
    <row r="4" spans="1:8" ht="17.399999999999999">
      <c r="A4" s="10" t="s">
        <v>21</v>
      </c>
      <c r="B4" s="11">
        <v>3</v>
      </c>
      <c r="C4" s="12">
        <f t="shared" si="0"/>
        <v>3000</v>
      </c>
      <c r="E4" s="11">
        <v>3</v>
      </c>
      <c r="F4" s="12">
        <v>3000</v>
      </c>
    </row>
    <row r="5" spans="1:8" ht="17.399999999999999">
      <c r="A5" s="10" t="s">
        <v>22</v>
      </c>
      <c r="B5" s="11">
        <v>2</v>
      </c>
      <c r="C5" s="12">
        <f t="shared" si="0"/>
        <v>2000</v>
      </c>
      <c r="E5" s="11">
        <v>4</v>
      </c>
      <c r="F5" s="12">
        <v>4000</v>
      </c>
    </row>
    <row r="6" spans="1:8" ht="18">
      <c r="A6" s="10" t="s">
        <v>23</v>
      </c>
      <c r="B6" s="11">
        <v>4</v>
      </c>
      <c r="C6" s="12">
        <f t="shared" si="0"/>
        <v>4000</v>
      </c>
      <c r="E6" s="11">
        <v>5</v>
      </c>
      <c r="F6" s="12">
        <v>5000</v>
      </c>
      <c r="H6" s="13" t="s">
        <v>49</v>
      </c>
    </row>
    <row r="7" spans="1:8" ht="17.399999999999999">
      <c r="A7" s="10" t="s">
        <v>24</v>
      </c>
      <c r="B7" s="11">
        <v>5</v>
      </c>
      <c r="C7" s="12">
        <f t="shared" si="0"/>
        <v>5000</v>
      </c>
    </row>
    <row r="8" spans="1:8" ht="17.399999999999999">
      <c r="A8" s="10" t="s">
        <v>25</v>
      </c>
      <c r="B8" s="11">
        <v>1</v>
      </c>
      <c r="C8" s="12">
        <f t="shared" si="0"/>
        <v>1000</v>
      </c>
    </row>
    <row r="9" spans="1:8" ht="17.399999999999999">
      <c r="A9" s="10" t="s">
        <v>26</v>
      </c>
      <c r="B9" s="11">
        <v>5</v>
      </c>
      <c r="C9" s="12">
        <f t="shared" si="0"/>
        <v>5000</v>
      </c>
    </row>
    <row r="10" spans="1:8" ht="18">
      <c r="A10" s="10" t="s">
        <v>27</v>
      </c>
      <c r="B10" s="11">
        <v>1</v>
      </c>
      <c r="C10" s="12">
        <f t="shared" si="0"/>
        <v>1000</v>
      </c>
      <c r="G10" s="7" t="s">
        <v>48</v>
      </c>
    </row>
    <row r="11" spans="1:8" ht="18">
      <c r="A11" s="10" t="s">
        <v>28</v>
      </c>
      <c r="B11" s="11">
        <v>3</v>
      </c>
      <c r="C11" s="12">
        <f t="shared" si="0"/>
        <v>3000</v>
      </c>
      <c r="H11" s="6" t="s">
        <v>46</v>
      </c>
    </row>
    <row r="12" spans="1:8" ht="18">
      <c r="A12" s="10" t="s">
        <v>29</v>
      </c>
      <c r="B12" s="11">
        <v>4</v>
      </c>
      <c r="C12" s="12">
        <f t="shared" si="0"/>
        <v>4000</v>
      </c>
      <c r="H12" s="5"/>
    </row>
    <row r="13" spans="1:8" ht="18">
      <c r="A13" s="10" t="s">
        <v>30</v>
      </c>
      <c r="B13" s="11">
        <v>3</v>
      </c>
      <c r="C13" s="12">
        <f t="shared" si="0"/>
        <v>3000</v>
      </c>
      <c r="H13" s="14" t="s">
        <v>44</v>
      </c>
    </row>
    <row r="14" spans="1:8" ht="18">
      <c r="A14" s="10" t="s">
        <v>31</v>
      </c>
      <c r="B14" s="11">
        <v>2</v>
      </c>
      <c r="C14" s="12">
        <f t="shared" si="0"/>
        <v>2000</v>
      </c>
      <c r="H14" s="5"/>
    </row>
    <row r="15" spans="1:8" ht="18">
      <c r="A15" s="10" t="s">
        <v>32</v>
      </c>
      <c r="B15" s="11">
        <v>5</v>
      </c>
      <c r="C15" s="12">
        <f t="shared" si="0"/>
        <v>5000</v>
      </c>
      <c r="H15" s="5" t="s">
        <v>45</v>
      </c>
    </row>
    <row r="16" spans="1:8" ht="18">
      <c r="A16" s="10" t="s">
        <v>33</v>
      </c>
      <c r="B16" s="11">
        <v>4</v>
      </c>
      <c r="C16" s="12">
        <f t="shared" si="0"/>
        <v>4000</v>
      </c>
      <c r="H16" s="5"/>
    </row>
    <row r="17" spans="1:8" ht="17.399999999999999">
      <c r="A17" s="10" t="s">
        <v>34</v>
      </c>
      <c r="B17" s="11">
        <v>3</v>
      </c>
      <c r="C17" s="12">
        <f t="shared" si="0"/>
        <v>3000</v>
      </c>
      <c r="H17" s="8" t="s">
        <v>47</v>
      </c>
    </row>
    <row r="18" spans="1:8" ht="17.399999999999999">
      <c r="A18" s="10" t="s">
        <v>35</v>
      </c>
      <c r="B18" s="11">
        <v>5</v>
      </c>
      <c r="C18" s="12">
        <f t="shared" si="0"/>
        <v>5000</v>
      </c>
    </row>
    <row r="19" spans="1:8" ht="17.399999999999999">
      <c r="A19" s="10" t="s">
        <v>36</v>
      </c>
      <c r="B19" s="11">
        <v>3</v>
      </c>
      <c r="C19" s="12">
        <f t="shared" si="0"/>
        <v>3000</v>
      </c>
    </row>
    <row r="20" spans="1:8" ht="17.399999999999999">
      <c r="A20" s="10" t="s">
        <v>37</v>
      </c>
      <c r="B20" s="11">
        <v>5</v>
      </c>
      <c r="C20" s="12">
        <f t="shared" si="0"/>
        <v>5000</v>
      </c>
    </row>
    <row r="21" spans="1:8" ht="17.399999999999999">
      <c r="A21" s="10" t="s">
        <v>38</v>
      </c>
      <c r="B21" s="11">
        <v>3</v>
      </c>
      <c r="C21" s="12">
        <f t="shared" si="0"/>
        <v>3000</v>
      </c>
    </row>
    <row r="22" spans="1:8" ht="17.399999999999999">
      <c r="A22" s="10" t="s">
        <v>39</v>
      </c>
      <c r="B22" s="11">
        <v>5</v>
      </c>
      <c r="C22" s="12">
        <f t="shared" si="0"/>
        <v>5000</v>
      </c>
    </row>
    <row r="23" spans="1:8" ht="17.399999999999999">
      <c r="A23" s="10" t="s">
        <v>40</v>
      </c>
      <c r="B23" s="11">
        <v>4</v>
      </c>
      <c r="C23" s="12">
        <f t="shared" si="0"/>
        <v>4000</v>
      </c>
    </row>
    <row r="24" spans="1:8" ht="17.399999999999999">
      <c r="A24" s="10" t="s">
        <v>41</v>
      </c>
      <c r="B24" s="11">
        <v>5</v>
      </c>
      <c r="C24" s="12">
        <f t="shared" si="0"/>
        <v>5000</v>
      </c>
    </row>
    <row r="25" spans="1:8" ht="17.399999999999999">
      <c r="A25" s="10" t="s">
        <v>42</v>
      </c>
      <c r="B25" s="11">
        <v>3</v>
      </c>
      <c r="C25" s="12">
        <f t="shared" si="0"/>
        <v>3000</v>
      </c>
    </row>
    <row r="26" spans="1:8" ht="17.399999999999999">
      <c r="A26" s="10" t="s">
        <v>43</v>
      </c>
      <c r="B26" s="11">
        <v>1</v>
      </c>
      <c r="C26" s="12">
        <f t="shared" si="0"/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BEB0B-8914-48B0-BE37-FF9F970C3C97}">
  <sheetPr>
    <tabColor rgb="FF7030A0"/>
  </sheetPr>
  <dimension ref="A1:G22"/>
  <sheetViews>
    <sheetView topLeftCell="A4" workbookViewId="0">
      <selection activeCell="G24" sqref="G24"/>
    </sheetView>
  </sheetViews>
  <sheetFormatPr defaultRowHeight="18"/>
  <cols>
    <col min="1" max="1" width="21.44140625" bestFit="1" customWidth="1"/>
    <col min="2" max="2" width="12.5546875" bestFit="1" customWidth="1"/>
    <col min="3" max="3" width="12.33203125" bestFit="1" customWidth="1"/>
    <col min="6" max="6" width="12.5546875" bestFit="1" customWidth="1"/>
    <col min="7" max="7" width="157.109375" style="5" bestFit="1" customWidth="1"/>
  </cols>
  <sheetData>
    <row r="1" spans="1:7">
      <c r="A1" s="16" t="s">
        <v>50</v>
      </c>
    </row>
    <row r="2" spans="1:7">
      <c r="A2" s="16" t="s">
        <v>71</v>
      </c>
      <c r="B2" s="6" t="s">
        <v>72</v>
      </c>
      <c r="C2" s="6" t="s">
        <v>73</v>
      </c>
      <c r="G2" s="16" t="s">
        <v>70</v>
      </c>
    </row>
    <row r="3" spans="1:7">
      <c r="A3" s="17" t="s">
        <v>51</v>
      </c>
      <c r="B3" s="5" t="str">
        <f>TRIM(LEFT(A3,FIND(",",A3)-1))</f>
        <v>Watanuki</v>
      </c>
      <c r="C3" s="5" t="str">
        <f>TRIM(MID(A3,FIND(",",A3)+1,100))</f>
        <v>Cathy</v>
      </c>
    </row>
    <row r="4" spans="1:7">
      <c r="A4" s="17" t="s">
        <v>52</v>
      </c>
      <c r="B4" s="5" t="str">
        <f t="shared" ref="B4:B21" si="0">TRIM(LEFT(A4,FIND(",",A4)-1))</f>
        <v>Hendricks</v>
      </c>
      <c r="C4" s="5" t="str">
        <f t="shared" ref="C4:C21" si="1">TRIM(MID(A4,FIND(",",A4)+1,100))</f>
        <v>Eric</v>
      </c>
    </row>
    <row r="5" spans="1:7">
      <c r="A5" s="17" t="s">
        <v>53</v>
      </c>
      <c r="B5" s="5" t="str">
        <f t="shared" si="0"/>
        <v>Baker</v>
      </c>
      <c r="C5" s="5" t="str">
        <f t="shared" si="1"/>
        <v>Mark</v>
      </c>
    </row>
    <row r="6" spans="1:7">
      <c r="A6" s="17" t="s">
        <v>54</v>
      </c>
      <c r="B6" s="5" t="str">
        <f t="shared" si="0"/>
        <v>Catalano</v>
      </c>
      <c r="C6" s="5" t="str">
        <f t="shared" si="1"/>
        <v>Robert</v>
      </c>
      <c r="F6" s="15" t="s">
        <v>48</v>
      </c>
    </row>
    <row r="7" spans="1:7">
      <c r="A7" s="17" t="s">
        <v>55</v>
      </c>
      <c r="B7" s="5" t="str">
        <f t="shared" si="0"/>
        <v>Chambers</v>
      </c>
      <c r="C7" s="5" t="str">
        <f t="shared" si="1"/>
        <v>Karen</v>
      </c>
      <c r="G7" s="14" t="s">
        <v>74</v>
      </c>
    </row>
    <row r="8" spans="1:7">
      <c r="A8" s="17" t="s">
        <v>56</v>
      </c>
      <c r="B8" s="5" t="str">
        <f t="shared" si="0"/>
        <v>Eaton</v>
      </c>
      <c r="C8" s="5" t="str">
        <f t="shared" si="1"/>
        <v>Jeffrey</v>
      </c>
      <c r="G8" s="18"/>
    </row>
    <row r="9" spans="1:7" ht="20.399999999999999">
      <c r="A9" s="17" t="s">
        <v>57</v>
      </c>
      <c r="B9" s="5" t="str">
        <f t="shared" si="0"/>
        <v>Fier</v>
      </c>
      <c r="C9" s="5" t="str">
        <f t="shared" si="1"/>
        <v>Marilyn</v>
      </c>
      <c r="G9" s="19" t="s">
        <v>76</v>
      </c>
    </row>
    <row r="10" spans="1:7" ht="20.399999999999999">
      <c r="A10" s="17" t="s">
        <v>58</v>
      </c>
      <c r="B10" s="5" t="str">
        <f t="shared" si="0"/>
        <v>Fitzgerald</v>
      </c>
      <c r="C10" s="5" t="str">
        <f t="shared" si="1"/>
        <v>Jackie</v>
      </c>
      <c r="G10" s="19" t="s">
        <v>77</v>
      </c>
    </row>
    <row r="11" spans="1:7" ht="20.399999999999999">
      <c r="A11" s="17" t="s">
        <v>59</v>
      </c>
      <c r="B11" s="5" t="str">
        <f t="shared" si="0"/>
        <v>Hansen</v>
      </c>
      <c r="C11" s="5" t="str">
        <f t="shared" si="1"/>
        <v>Sheila</v>
      </c>
      <c r="G11" s="19" t="s">
        <v>78</v>
      </c>
    </row>
    <row r="12" spans="1:7">
      <c r="A12" s="17" t="s">
        <v>60</v>
      </c>
      <c r="B12" s="5" t="str">
        <f t="shared" si="0"/>
        <v>Harvey</v>
      </c>
      <c r="C12" s="5" t="str">
        <f t="shared" si="1"/>
        <v>Harlon</v>
      </c>
    </row>
    <row r="13" spans="1:7">
      <c r="A13" s="17" t="s">
        <v>61</v>
      </c>
      <c r="B13" s="5" t="str">
        <f t="shared" si="0"/>
        <v>Konopka</v>
      </c>
      <c r="C13" s="5" t="str">
        <f t="shared" si="1"/>
        <v>Robert</v>
      </c>
      <c r="G13" s="5" t="s">
        <v>75</v>
      </c>
    </row>
    <row r="14" spans="1:7">
      <c r="A14" s="17" t="s">
        <v>62</v>
      </c>
      <c r="B14" s="5" t="str">
        <f t="shared" si="0"/>
        <v>Long</v>
      </c>
      <c r="C14" s="5" t="str">
        <f t="shared" si="1"/>
        <v>Ryan</v>
      </c>
    </row>
    <row r="15" spans="1:7">
      <c r="A15" s="17" t="s">
        <v>63</v>
      </c>
      <c r="B15" s="5" t="str">
        <f t="shared" si="0"/>
        <v>Macdonald</v>
      </c>
      <c r="C15" s="5" t="str">
        <f t="shared" si="1"/>
        <v>Mark</v>
      </c>
      <c r="G15" s="6" t="s">
        <v>81</v>
      </c>
    </row>
    <row r="16" spans="1:7">
      <c r="A16" s="17" t="s">
        <v>64</v>
      </c>
      <c r="B16" s="5" t="str">
        <f t="shared" si="0"/>
        <v>Nichols</v>
      </c>
      <c r="C16" s="5" t="str">
        <f t="shared" si="1"/>
        <v>Don</v>
      </c>
    </row>
    <row r="17" spans="1:7">
      <c r="A17" s="17" t="s">
        <v>65</v>
      </c>
      <c r="B17" s="5" t="str">
        <f t="shared" si="0"/>
        <v>O'Brien</v>
      </c>
      <c r="C17" s="5" t="str">
        <f t="shared" si="1"/>
        <v>Donna</v>
      </c>
      <c r="G17" s="8" t="s">
        <v>79</v>
      </c>
    </row>
    <row r="18" spans="1:7">
      <c r="A18" s="17" t="s">
        <v>66</v>
      </c>
      <c r="B18" s="5" t="str">
        <f t="shared" si="0"/>
        <v>Perez</v>
      </c>
      <c r="C18" s="5" t="str">
        <f t="shared" si="1"/>
        <v>Barney</v>
      </c>
      <c r="G18" s="8" t="s">
        <v>80</v>
      </c>
    </row>
    <row r="19" spans="1:7">
      <c r="A19" s="17" t="s">
        <v>67</v>
      </c>
      <c r="B19" s="5" t="str">
        <f t="shared" si="0"/>
        <v>Priem</v>
      </c>
      <c r="C19" s="5" t="str">
        <f t="shared" si="1"/>
        <v>George</v>
      </c>
      <c r="G19" s="8"/>
    </row>
    <row r="20" spans="1:7">
      <c r="A20" s="17" t="s">
        <v>68</v>
      </c>
      <c r="B20" s="5" t="str">
        <f t="shared" si="0"/>
        <v>Tidwell</v>
      </c>
      <c r="C20" s="5" t="str">
        <f t="shared" si="1"/>
        <v>Liesl</v>
      </c>
      <c r="G20" s="6" t="s">
        <v>83</v>
      </c>
    </row>
    <row r="21" spans="1:7">
      <c r="A21" s="17" t="s">
        <v>69</v>
      </c>
      <c r="B21" s="5" t="str">
        <f t="shared" si="0"/>
        <v>Wagner</v>
      </c>
      <c r="C21" s="5" t="str">
        <f t="shared" si="1"/>
        <v>Max</v>
      </c>
      <c r="G21" s="6"/>
    </row>
    <row r="22" spans="1:7" ht="20.399999999999999">
      <c r="G22" s="5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41CEC-967B-4C66-83D4-CF4963C3078F}">
  <sheetPr>
    <tabColor rgb="FFFFC000"/>
  </sheetPr>
  <dimension ref="A1:H21"/>
  <sheetViews>
    <sheetView workbookViewId="0">
      <selection activeCell="H17" sqref="H17"/>
    </sheetView>
  </sheetViews>
  <sheetFormatPr defaultRowHeight="14.4"/>
  <cols>
    <col min="1" max="1" width="9.88671875" bestFit="1" customWidth="1"/>
    <col min="2" max="2" width="11.33203125" bestFit="1" customWidth="1"/>
    <col min="4" max="4" width="20.5546875" bestFit="1" customWidth="1"/>
    <col min="7" max="7" width="16.109375" bestFit="1" customWidth="1"/>
    <col min="8" max="8" width="95.5546875" bestFit="1" customWidth="1"/>
  </cols>
  <sheetData>
    <row r="1" spans="1:8" ht="18">
      <c r="A1" s="16" t="s">
        <v>84</v>
      </c>
      <c r="B1" s="16" t="s">
        <v>85</v>
      </c>
      <c r="C1" s="16" t="s">
        <v>130</v>
      </c>
      <c r="D1" s="16" t="s">
        <v>131</v>
      </c>
    </row>
    <row r="2" spans="1:8" ht="18">
      <c r="A2" s="17" t="s">
        <v>86</v>
      </c>
      <c r="B2" s="17" t="s">
        <v>87</v>
      </c>
      <c r="C2" s="17" t="s">
        <v>88</v>
      </c>
      <c r="D2" s="17" t="str">
        <f>A2 &amp; " " &amp; IF(C2="","",C2&amp;". ") &amp; B2</f>
        <v>Mark S. Baker</v>
      </c>
    </row>
    <row r="3" spans="1:8" ht="18">
      <c r="A3" s="17" t="s">
        <v>89</v>
      </c>
      <c r="B3" s="17" t="s">
        <v>90</v>
      </c>
      <c r="C3" s="17"/>
      <c r="D3" s="17" t="str">
        <f t="shared" ref="D3:D19" si="0">A3 &amp; " " &amp; IF(C3="","",C3&amp;". ") &amp; B3</f>
        <v>Sheila Hansen</v>
      </c>
      <c r="F3" s="17" t="s">
        <v>129</v>
      </c>
    </row>
    <row r="4" spans="1:8" ht="18">
      <c r="A4" s="17" t="s">
        <v>91</v>
      </c>
      <c r="B4" s="17" t="s">
        <v>92</v>
      </c>
      <c r="C4" s="17" t="s">
        <v>93</v>
      </c>
      <c r="D4" s="17" t="str">
        <f t="shared" si="0"/>
        <v>Marilyn F. Fier</v>
      </c>
    </row>
    <row r="5" spans="1:8" ht="18">
      <c r="A5" s="17" t="s">
        <v>86</v>
      </c>
      <c r="B5" s="17" t="s">
        <v>94</v>
      </c>
      <c r="C5" s="17"/>
      <c r="D5" s="17" t="str">
        <f t="shared" si="0"/>
        <v>Mark Morris</v>
      </c>
    </row>
    <row r="6" spans="1:8" ht="18">
      <c r="A6" s="17" t="s">
        <v>95</v>
      </c>
      <c r="B6" s="17" t="s">
        <v>96</v>
      </c>
      <c r="C6" s="17" t="s">
        <v>97</v>
      </c>
      <c r="D6" s="17" t="str">
        <f t="shared" si="0"/>
        <v>Jussi G. Björling</v>
      </c>
      <c r="G6" s="6" t="s">
        <v>48</v>
      </c>
    </row>
    <row r="7" spans="1:8" ht="18">
      <c r="A7" s="17" t="s">
        <v>98</v>
      </c>
      <c r="B7" s="17" t="s">
        <v>99</v>
      </c>
      <c r="C7" s="17" t="s">
        <v>100</v>
      </c>
      <c r="D7" s="17" t="str">
        <f t="shared" si="0"/>
        <v>Ryan H. Long</v>
      </c>
      <c r="H7" s="14" t="s">
        <v>74</v>
      </c>
    </row>
    <row r="8" spans="1:8" ht="18">
      <c r="A8" s="17" t="s">
        <v>101</v>
      </c>
      <c r="B8" s="17" t="s">
        <v>102</v>
      </c>
      <c r="C8" s="17" t="s">
        <v>103</v>
      </c>
      <c r="D8" s="17" t="str">
        <f t="shared" si="0"/>
        <v>Jackie B. Fitzgerald</v>
      </c>
      <c r="H8" s="5"/>
    </row>
    <row r="9" spans="1:8" ht="18">
      <c r="A9" s="17" t="s">
        <v>104</v>
      </c>
      <c r="B9" s="17" t="s">
        <v>105</v>
      </c>
      <c r="C9" s="17"/>
      <c r="D9" s="17" t="str">
        <f t="shared" si="0"/>
        <v>Riccardo Muti</v>
      </c>
      <c r="H9" s="5" t="s">
        <v>149</v>
      </c>
    </row>
    <row r="10" spans="1:8" ht="18">
      <c r="A10" s="17" t="s">
        <v>106</v>
      </c>
      <c r="B10" s="17" t="s">
        <v>107</v>
      </c>
      <c r="C10" s="17"/>
      <c r="D10" s="17" t="str">
        <f t="shared" si="0"/>
        <v>Liesl Tidwell</v>
      </c>
      <c r="H10" s="5"/>
    </row>
    <row r="11" spans="1:8" ht="18">
      <c r="A11" s="17" t="s">
        <v>108</v>
      </c>
      <c r="B11" s="17" t="s">
        <v>109</v>
      </c>
      <c r="C11" s="17" t="s">
        <v>110</v>
      </c>
      <c r="D11" s="17" t="str">
        <f t="shared" si="0"/>
        <v>Jeffrey N. Eaton</v>
      </c>
      <c r="H11" s="6" t="s">
        <v>81</v>
      </c>
    </row>
    <row r="12" spans="1:8" ht="18">
      <c r="A12" s="17" t="s">
        <v>111</v>
      </c>
      <c r="B12" s="17" t="s">
        <v>112</v>
      </c>
      <c r="C12" s="17"/>
      <c r="D12" s="17" t="str">
        <f t="shared" si="0"/>
        <v>Karen Chambers</v>
      </c>
      <c r="H12" s="5"/>
    </row>
    <row r="13" spans="1:8" ht="18">
      <c r="A13" s="17" t="s">
        <v>113</v>
      </c>
      <c r="B13" s="17" t="s">
        <v>114</v>
      </c>
      <c r="C13" s="17" t="s">
        <v>115</v>
      </c>
      <c r="D13" s="17" t="str">
        <f t="shared" si="0"/>
        <v>Barney E. Perez</v>
      </c>
      <c r="H13" s="8" t="s">
        <v>151</v>
      </c>
    </row>
    <row r="14" spans="1:8" ht="18">
      <c r="A14" s="17" t="s">
        <v>116</v>
      </c>
      <c r="B14" s="17" t="s">
        <v>117</v>
      </c>
      <c r="C14" s="17"/>
      <c r="D14" s="17" t="str">
        <f t="shared" si="0"/>
        <v>Cathy Watanuki</v>
      </c>
      <c r="H14" s="5"/>
    </row>
    <row r="15" spans="1:8" ht="18">
      <c r="A15" s="17" t="s">
        <v>118</v>
      </c>
      <c r="B15" s="17" t="s">
        <v>119</v>
      </c>
      <c r="C15" s="17"/>
      <c r="D15" s="17" t="str">
        <f t="shared" si="0"/>
        <v>George Porter</v>
      </c>
      <c r="H15" s="5" t="s">
        <v>150</v>
      </c>
    </row>
    <row r="16" spans="1:8" ht="18">
      <c r="A16" s="17" t="s">
        <v>120</v>
      </c>
      <c r="B16" s="17" t="s">
        <v>121</v>
      </c>
      <c r="C16" s="17" t="s">
        <v>100</v>
      </c>
      <c r="D16" s="17" t="str">
        <f t="shared" si="0"/>
        <v>Max H. Wagner</v>
      </c>
    </row>
    <row r="17" spans="1:4" ht="18">
      <c r="A17" s="17" t="s">
        <v>122</v>
      </c>
      <c r="B17" s="17" t="s">
        <v>123</v>
      </c>
      <c r="C17" s="17"/>
      <c r="D17" s="17" t="str">
        <f t="shared" si="0"/>
        <v>Robert Konopka</v>
      </c>
    </row>
    <row r="18" spans="1:4" ht="18">
      <c r="A18" s="17" t="s">
        <v>124</v>
      </c>
      <c r="B18" s="17" t="s">
        <v>125</v>
      </c>
      <c r="C18" s="17" t="s">
        <v>126</v>
      </c>
      <c r="D18" s="17" t="str">
        <f t="shared" si="0"/>
        <v>Don W. Nichols</v>
      </c>
    </row>
    <row r="19" spans="1:4" ht="18">
      <c r="A19" s="17" t="s">
        <v>127</v>
      </c>
      <c r="B19" s="17" t="s">
        <v>128</v>
      </c>
      <c r="C19" s="17"/>
      <c r="D19" s="17" t="str">
        <f t="shared" si="0"/>
        <v>Harlon Harvey</v>
      </c>
    </row>
    <row r="20" spans="1:4" ht="18">
      <c r="A20" s="17"/>
      <c r="B20" s="17"/>
      <c r="C20" s="17"/>
      <c r="D20" s="17"/>
    </row>
    <row r="21" spans="1:4" ht="18">
      <c r="A21" s="17"/>
      <c r="B21" s="17"/>
      <c r="C21" s="17"/>
      <c r="D21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00C42-37B3-4018-A64E-385F1BE49F85}">
  <sheetPr>
    <tabColor rgb="FF00B050"/>
  </sheetPr>
  <dimension ref="A1:J68"/>
  <sheetViews>
    <sheetView topLeftCell="A50" workbookViewId="0">
      <selection activeCell="J61" sqref="J61"/>
    </sheetView>
  </sheetViews>
  <sheetFormatPr defaultRowHeight="18"/>
  <cols>
    <col min="1" max="1" width="16.88671875" style="5" bestFit="1" customWidth="1"/>
    <col min="2" max="2" width="11.88671875" style="5" bestFit="1" customWidth="1"/>
    <col min="3" max="3" width="9" style="5" bestFit="1" customWidth="1"/>
    <col min="4" max="4" width="11.21875" style="5" bestFit="1" customWidth="1"/>
    <col min="5" max="5" width="8.77734375" style="5" customWidth="1"/>
    <col min="6" max="7" width="8.88671875" style="5"/>
    <col min="8" max="8" width="47.88671875" style="5" bestFit="1" customWidth="1"/>
    <col min="9" max="9" width="8.88671875" style="5"/>
    <col min="10" max="10" width="22.44140625" style="5" bestFit="1" customWidth="1"/>
    <col min="11" max="16384" width="8.88671875" style="5"/>
  </cols>
  <sheetData>
    <row r="1" spans="1:8">
      <c r="A1" s="20" t="s">
        <v>132</v>
      </c>
      <c r="B1" s="20"/>
      <c r="C1" s="20"/>
      <c r="D1" s="20"/>
    </row>
    <row r="3" spans="1:8">
      <c r="A3" s="21" t="s">
        <v>133</v>
      </c>
      <c r="B3" s="21" t="s">
        <v>134</v>
      </c>
      <c r="C3" s="21" t="s">
        <v>135</v>
      </c>
      <c r="D3" s="21" t="s">
        <v>136</v>
      </c>
      <c r="E3" s="21"/>
    </row>
    <row r="4" spans="1:8">
      <c r="A4" s="5" t="s">
        <v>137</v>
      </c>
      <c r="B4" s="22">
        <v>36527.428136805553</v>
      </c>
      <c r="C4" s="5" t="s">
        <v>138</v>
      </c>
      <c r="D4" s="23">
        <v>47</v>
      </c>
      <c r="E4" s="1"/>
      <c r="H4" s="1"/>
    </row>
    <row r="5" spans="1:8">
      <c r="A5" s="5" t="s">
        <v>139</v>
      </c>
      <c r="B5" s="22">
        <v>36529.428136805553</v>
      </c>
      <c r="C5" s="5" t="s">
        <v>140</v>
      </c>
      <c r="D5" s="23">
        <v>56</v>
      </c>
      <c r="E5" s="1"/>
      <c r="H5" s="1"/>
    </row>
    <row r="6" spans="1:8">
      <c r="A6" s="5" t="s">
        <v>141</v>
      </c>
      <c r="B6" s="22">
        <v>36533.428136805553</v>
      </c>
      <c r="C6" s="5" t="s">
        <v>140</v>
      </c>
      <c r="D6" s="23">
        <v>59</v>
      </c>
      <c r="E6" s="1"/>
      <c r="H6" s="1"/>
    </row>
    <row r="7" spans="1:8">
      <c r="A7" s="5" t="s">
        <v>137</v>
      </c>
      <c r="B7" s="22">
        <v>36537.428136689814</v>
      </c>
      <c r="C7" s="5" t="s">
        <v>142</v>
      </c>
      <c r="D7" s="23">
        <v>22</v>
      </c>
      <c r="E7" s="1"/>
    </row>
    <row r="8" spans="1:8">
      <c r="A8" s="5" t="s">
        <v>141</v>
      </c>
      <c r="B8" s="22">
        <v>36541.428136805553</v>
      </c>
      <c r="C8" s="5" t="s">
        <v>143</v>
      </c>
      <c r="D8" s="23">
        <v>26</v>
      </c>
      <c r="E8" s="1"/>
    </row>
    <row r="9" spans="1:8">
      <c r="A9" s="5" t="s">
        <v>139</v>
      </c>
      <c r="B9" s="22">
        <v>36543.428136805553</v>
      </c>
      <c r="C9" s="5" t="s">
        <v>142</v>
      </c>
      <c r="D9" s="23">
        <v>14</v>
      </c>
      <c r="E9" s="1"/>
    </row>
    <row r="10" spans="1:8">
      <c r="A10" s="5" t="s">
        <v>144</v>
      </c>
      <c r="B10" s="22">
        <v>36543.428136805553</v>
      </c>
      <c r="C10" s="5" t="s">
        <v>142</v>
      </c>
      <c r="D10" s="23">
        <v>25</v>
      </c>
      <c r="E10" s="1"/>
    </row>
    <row r="11" spans="1:8">
      <c r="A11" s="5" t="s">
        <v>139</v>
      </c>
      <c r="B11" s="22">
        <v>36545.428136805553</v>
      </c>
      <c r="C11" s="5" t="s">
        <v>145</v>
      </c>
      <c r="D11" s="23">
        <v>38</v>
      </c>
      <c r="E11" s="1"/>
    </row>
    <row r="12" spans="1:8">
      <c r="A12" s="5" t="s">
        <v>137</v>
      </c>
      <c r="B12" s="22">
        <v>36546.428136689814</v>
      </c>
      <c r="C12" s="5" t="s">
        <v>138</v>
      </c>
      <c r="D12" s="23">
        <v>42</v>
      </c>
      <c r="E12" s="1"/>
    </row>
    <row r="13" spans="1:8">
      <c r="A13" s="5" t="s">
        <v>141</v>
      </c>
      <c r="B13" s="22">
        <v>36552.428136689814</v>
      </c>
      <c r="C13" s="5" t="s">
        <v>143</v>
      </c>
      <c r="D13" s="23">
        <v>36</v>
      </c>
      <c r="E13" s="1"/>
    </row>
    <row r="14" spans="1:8">
      <c r="A14" s="5" t="s">
        <v>137</v>
      </c>
      <c r="B14" s="22">
        <v>36552.428136805553</v>
      </c>
      <c r="C14" s="5" t="s">
        <v>145</v>
      </c>
      <c r="D14" s="23">
        <v>17</v>
      </c>
      <c r="E14" s="1"/>
    </row>
    <row r="15" spans="1:8">
      <c r="A15" s="5" t="s">
        <v>141</v>
      </c>
      <c r="B15" s="22">
        <v>36553.428136689814</v>
      </c>
      <c r="C15" s="5" t="s">
        <v>140</v>
      </c>
      <c r="D15" s="23">
        <v>91</v>
      </c>
      <c r="E15" s="1"/>
    </row>
    <row r="16" spans="1:8">
      <c r="A16" s="5" t="s">
        <v>146</v>
      </c>
      <c r="B16" s="22">
        <v>36554.428136805553</v>
      </c>
      <c r="C16" s="5" t="s">
        <v>142</v>
      </c>
      <c r="D16" s="23">
        <v>21</v>
      </c>
      <c r="E16" s="1"/>
    </row>
    <row r="17" spans="1:5">
      <c r="A17" s="5" t="s">
        <v>137</v>
      </c>
      <c r="B17" s="22">
        <v>36556.428136689814</v>
      </c>
      <c r="C17" s="5" t="s">
        <v>138</v>
      </c>
      <c r="D17" s="23">
        <v>42</v>
      </c>
      <c r="E17" s="1"/>
    </row>
    <row r="18" spans="1:5">
      <c r="A18" s="5" t="s">
        <v>144</v>
      </c>
      <c r="B18" s="22">
        <v>36561.428136805553</v>
      </c>
      <c r="C18" s="5" t="s">
        <v>138</v>
      </c>
      <c r="D18" s="23">
        <v>15</v>
      </c>
      <c r="E18" s="1"/>
    </row>
    <row r="19" spans="1:5">
      <c r="A19" s="5" t="s">
        <v>139</v>
      </c>
      <c r="B19" s="22">
        <v>36564.428136689814</v>
      </c>
      <c r="C19" s="5" t="s">
        <v>138</v>
      </c>
      <c r="D19" s="23">
        <v>20</v>
      </c>
      <c r="E19" s="1"/>
    </row>
    <row r="20" spans="1:5">
      <c r="A20" s="5" t="s">
        <v>141</v>
      </c>
      <c r="B20" s="22">
        <v>36567.428136805553</v>
      </c>
      <c r="C20" s="5" t="s">
        <v>143</v>
      </c>
      <c r="D20" s="23">
        <v>15</v>
      </c>
      <c r="E20" s="1"/>
    </row>
    <row r="21" spans="1:5">
      <c r="A21" s="5" t="s">
        <v>146</v>
      </c>
      <c r="B21" s="22">
        <v>36568.428136805553</v>
      </c>
      <c r="C21" s="5" t="s">
        <v>143</v>
      </c>
      <c r="D21" s="23">
        <v>48</v>
      </c>
      <c r="E21" s="1"/>
    </row>
    <row r="22" spans="1:5">
      <c r="A22" s="5" t="s">
        <v>144</v>
      </c>
      <c r="B22" s="22">
        <v>36570.428136689814</v>
      </c>
      <c r="C22" s="5" t="s">
        <v>138</v>
      </c>
      <c r="D22" s="23">
        <v>40</v>
      </c>
      <c r="E22" s="1"/>
    </row>
    <row r="23" spans="1:5">
      <c r="A23" s="5" t="s">
        <v>144</v>
      </c>
      <c r="B23" s="22">
        <v>36570.428136805553</v>
      </c>
      <c r="C23" s="5" t="s">
        <v>138</v>
      </c>
      <c r="D23" s="23">
        <v>39</v>
      </c>
      <c r="E23" s="1"/>
    </row>
    <row r="24" spans="1:5">
      <c r="A24" s="5" t="s">
        <v>141</v>
      </c>
      <c r="B24" s="22">
        <v>36573.428136805553</v>
      </c>
      <c r="C24" s="5" t="s">
        <v>142</v>
      </c>
      <c r="D24" s="23">
        <v>2</v>
      </c>
      <c r="E24" s="1"/>
    </row>
    <row r="25" spans="1:5">
      <c r="A25" s="5" t="s">
        <v>139</v>
      </c>
      <c r="B25" s="22">
        <v>36579.428136689814</v>
      </c>
      <c r="C25" s="5" t="s">
        <v>143</v>
      </c>
      <c r="D25" s="23">
        <v>19</v>
      </c>
      <c r="E25" s="1"/>
    </row>
    <row r="26" spans="1:5">
      <c r="A26" s="5" t="s">
        <v>137</v>
      </c>
      <c r="B26" s="22">
        <v>36582.428136805553</v>
      </c>
      <c r="C26" s="5" t="s">
        <v>145</v>
      </c>
      <c r="D26" s="23">
        <v>3</v>
      </c>
      <c r="E26" s="1"/>
    </row>
    <row r="27" spans="1:5">
      <c r="A27" s="5" t="s">
        <v>137</v>
      </c>
      <c r="B27" s="22">
        <v>36582.428136805553</v>
      </c>
      <c r="C27" s="5" t="s">
        <v>142</v>
      </c>
      <c r="D27" s="23">
        <v>23</v>
      </c>
      <c r="E27" s="1"/>
    </row>
    <row r="28" spans="1:5">
      <c r="A28" s="5" t="s">
        <v>137</v>
      </c>
      <c r="B28" s="22">
        <v>36582.428136805553</v>
      </c>
      <c r="C28" s="5" t="s">
        <v>140</v>
      </c>
      <c r="D28" s="23">
        <v>58</v>
      </c>
      <c r="E28" s="1"/>
    </row>
    <row r="29" spans="1:5">
      <c r="A29" s="5" t="s">
        <v>139</v>
      </c>
      <c r="B29" s="22">
        <v>36583.428136805553</v>
      </c>
      <c r="C29" s="5" t="s">
        <v>142</v>
      </c>
      <c r="D29" s="23">
        <v>25</v>
      </c>
      <c r="E29" s="1"/>
    </row>
    <row r="30" spans="1:5">
      <c r="A30" s="5" t="s">
        <v>146</v>
      </c>
      <c r="B30" s="22">
        <v>36585.428136689814</v>
      </c>
      <c r="C30" s="5" t="s">
        <v>142</v>
      </c>
      <c r="D30" s="23">
        <v>22</v>
      </c>
      <c r="E30" s="1"/>
    </row>
    <row r="31" spans="1:5">
      <c r="A31" s="5" t="s">
        <v>141</v>
      </c>
      <c r="B31" s="22">
        <v>36586.428136805553</v>
      </c>
      <c r="C31" s="5" t="s">
        <v>138</v>
      </c>
      <c r="D31" s="23">
        <v>30</v>
      </c>
      <c r="E31" s="1"/>
    </row>
    <row r="32" spans="1:5">
      <c r="A32" s="5" t="s">
        <v>137</v>
      </c>
      <c r="B32" s="22">
        <v>36587.428136805553</v>
      </c>
      <c r="C32" s="5" t="s">
        <v>143</v>
      </c>
      <c r="D32" s="23">
        <v>44</v>
      </c>
      <c r="E32" s="1"/>
    </row>
    <row r="33" spans="1:5">
      <c r="A33" s="5" t="s">
        <v>137</v>
      </c>
      <c r="B33" s="22">
        <v>36590.428136689814</v>
      </c>
      <c r="C33" s="5" t="s">
        <v>138</v>
      </c>
      <c r="D33" s="23">
        <v>36</v>
      </c>
      <c r="E33" s="1"/>
    </row>
    <row r="34" spans="1:5">
      <c r="A34" s="5" t="s">
        <v>137</v>
      </c>
      <c r="B34" s="22">
        <v>36590.428136805553</v>
      </c>
      <c r="C34" s="5" t="s">
        <v>138</v>
      </c>
      <c r="D34" s="23">
        <v>37</v>
      </c>
      <c r="E34" s="1"/>
    </row>
    <row r="35" spans="1:5">
      <c r="A35" s="5" t="s">
        <v>141</v>
      </c>
      <c r="B35" s="22">
        <v>36591.428136805553</v>
      </c>
      <c r="C35" s="5" t="s">
        <v>143</v>
      </c>
      <c r="D35" s="23">
        <v>21</v>
      </c>
      <c r="E35" s="1"/>
    </row>
    <row r="36" spans="1:5">
      <c r="A36" s="5" t="s">
        <v>146</v>
      </c>
      <c r="B36" s="22">
        <v>36592.428136805553</v>
      </c>
      <c r="C36" s="5" t="s">
        <v>138</v>
      </c>
      <c r="D36" s="23">
        <v>46</v>
      </c>
      <c r="E36" s="1"/>
    </row>
    <row r="37" spans="1:5">
      <c r="A37" s="5" t="s">
        <v>146</v>
      </c>
      <c r="B37" s="22">
        <v>36594.428136689814</v>
      </c>
      <c r="C37" s="5" t="s">
        <v>142</v>
      </c>
      <c r="D37" s="23">
        <v>25</v>
      </c>
      <c r="E37" s="1"/>
    </row>
    <row r="38" spans="1:5">
      <c r="A38" s="5" t="s">
        <v>141</v>
      </c>
      <c r="B38" s="22">
        <v>36595.428136805553</v>
      </c>
      <c r="C38" s="5" t="s">
        <v>138</v>
      </c>
      <c r="D38" s="23">
        <v>47</v>
      </c>
      <c r="E38" s="1"/>
    </row>
    <row r="39" spans="1:5">
      <c r="A39" s="5" t="s">
        <v>137</v>
      </c>
      <c r="B39" s="22">
        <v>36597.428136805553</v>
      </c>
      <c r="C39" s="5" t="s">
        <v>138</v>
      </c>
      <c r="D39" s="23">
        <v>27</v>
      </c>
      <c r="E39" s="1"/>
    </row>
    <row r="40" spans="1:5">
      <c r="A40" s="5" t="s">
        <v>144</v>
      </c>
      <c r="B40" s="22">
        <v>36599.428136805553</v>
      </c>
      <c r="C40" s="5" t="s">
        <v>145</v>
      </c>
      <c r="D40" s="23">
        <v>50</v>
      </c>
      <c r="E40" s="1"/>
    </row>
    <row r="41" spans="1:5">
      <c r="A41" s="5" t="s">
        <v>139</v>
      </c>
      <c r="B41" s="22">
        <v>36609.428136689814</v>
      </c>
      <c r="C41" s="5" t="s">
        <v>143</v>
      </c>
      <c r="D41" s="23">
        <v>19</v>
      </c>
      <c r="E41" s="1"/>
    </row>
    <row r="42" spans="1:5">
      <c r="A42" s="5" t="s">
        <v>144</v>
      </c>
      <c r="B42" s="22">
        <v>36609.428136805553</v>
      </c>
      <c r="C42" s="5" t="s">
        <v>143</v>
      </c>
      <c r="D42" s="23">
        <v>24</v>
      </c>
      <c r="E42" s="1"/>
    </row>
    <row r="43" spans="1:5">
      <c r="A43" s="5" t="s">
        <v>141</v>
      </c>
      <c r="B43" s="22">
        <v>36609.428136805553</v>
      </c>
      <c r="C43" s="5" t="s">
        <v>140</v>
      </c>
      <c r="D43" s="23">
        <v>122</v>
      </c>
      <c r="E43" s="1"/>
    </row>
    <row r="44" spans="1:5">
      <c r="A44" s="5" t="s">
        <v>137</v>
      </c>
      <c r="B44" s="22">
        <v>36613.428136805553</v>
      </c>
      <c r="C44" s="5" t="s">
        <v>145</v>
      </c>
      <c r="D44" s="23">
        <v>47</v>
      </c>
      <c r="E44" s="1"/>
    </row>
    <row r="45" spans="1:5">
      <c r="A45" s="5" t="s">
        <v>141</v>
      </c>
      <c r="B45" s="22">
        <v>36615.428136689814</v>
      </c>
      <c r="C45" s="5" t="s">
        <v>138</v>
      </c>
      <c r="D45" s="23">
        <v>34</v>
      </c>
      <c r="E45" s="1"/>
    </row>
    <row r="46" spans="1:5">
      <c r="A46" s="5" t="s">
        <v>137</v>
      </c>
      <c r="B46" s="22">
        <v>36615.428136805553</v>
      </c>
      <c r="C46" s="5" t="s">
        <v>138</v>
      </c>
      <c r="D46" s="23">
        <v>45</v>
      </c>
      <c r="E46" s="1"/>
    </row>
    <row r="47" spans="1:5">
      <c r="A47" s="5" t="s">
        <v>139</v>
      </c>
      <c r="B47" s="22">
        <v>36619.428136689814</v>
      </c>
      <c r="C47" s="5" t="s">
        <v>142</v>
      </c>
      <c r="D47" s="23">
        <v>24</v>
      </c>
      <c r="E47" s="1"/>
    </row>
    <row r="48" spans="1:5">
      <c r="A48" s="5" t="s">
        <v>137</v>
      </c>
      <c r="B48" s="22">
        <v>36620.428136689814</v>
      </c>
      <c r="C48" s="5" t="s">
        <v>142</v>
      </c>
      <c r="D48" s="23">
        <v>14</v>
      </c>
      <c r="E48" s="1"/>
    </row>
    <row r="49" spans="1:5">
      <c r="A49" s="5" t="s">
        <v>146</v>
      </c>
      <c r="B49" s="22">
        <v>36620.428136805553</v>
      </c>
      <c r="C49" s="5" t="s">
        <v>143</v>
      </c>
      <c r="D49" s="23">
        <v>14</v>
      </c>
      <c r="E49" s="1"/>
    </row>
    <row r="50" spans="1:5">
      <c r="A50" s="5" t="s">
        <v>141</v>
      </c>
      <c r="B50" s="22">
        <v>36623.428136805553</v>
      </c>
      <c r="C50" s="5" t="s">
        <v>142</v>
      </c>
      <c r="D50" s="23">
        <v>20</v>
      </c>
      <c r="E50" s="1"/>
    </row>
    <row r="51" spans="1:5">
      <c r="A51" s="5" t="s">
        <v>146</v>
      </c>
      <c r="B51" s="22">
        <v>36623.428136805553</v>
      </c>
      <c r="C51" s="5" t="s">
        <v>140</v>
      </c>
      <c r="D51" s="23">
        <v>63</v>
      </c>
      <c r="E51" s="1"/>
    </row>
    <row r="52" spans="1:5">
      <c r="A52" s="5" t="s">
        <v>137</v>
      </c>
      <c r="B52" s="22">
        <v>36625.428136689814</v>
      </c>
      <c r="C52" s="5" t="s">
        <v>145</v>
      </c>
      <c r="D52" s="23">
        <v>56</v>
      </c>
      <c r="E52" s="1"/>
    </row>
    <row r="53" spans="1:5">
      <c r="A53" s="5" t="s">
        <v>144</v>
      </c>
      <c r="B53" s="22">
        <v>36670.428136574075</v>
      </c>
      <c r="C53" s="5" t="s">
        <v>143</v>
      </c>
      <c r="D53" s="24">
        <v>24</v>
      </c>
    </row>
    <row r="54" spans="1:5">
      <c r="A54" s="5" t="s">
        <v>141</v>
      </c>
      <c r="B54" s="22">
        <v>36670.428136574075</v>
      </c>
      <c r="C54" s="5" t="s">
        <v>140</v>
      </c>
      <c r="D54" s="23">
        <v>122</v>
      </c>
    </row>
    <row r="55" spans="1:5">
      <c r="A55" s="5" t="s">
        <v>137</v>
      </c>
      <c r="B55" s="22">
        <v>36705.428136574075</v>
      </c>
      <c r="C55" s="5" t="s">
        <v>145</v>
      </c>
      <c r="D55" s="23">
        <v>47</v>
      </c>
    </row>
    <row r="56" spans="1:5">
      <c r="A56" s="5" t="s">
        <v>141</v>
      </c>
      <c r="B56" s="22">
        <v>36707.428136574075</v>
      </c>
      <c r="C56" s="5" t="s">
        <v>138</v>
      </c>
      <c r="D56" s="23">
        <v>34</v>
      </c>
    </row>
    <row r="57" spans="1:5">
      <c r="A57" s="5" t="s">
        <v>137</v>
      </c>
      <c r="B57" s="22">
        <v>36707.428136574075</v>
      </c>
      <c r="C57" s="5" t="s">
        <v>138</v>
      </c>
      <c r="D57" s="23">
        <v>45</v>
      </c>
    </row>
    <row r="58" spans="1:5">
      <c r="A58" s="5" t="s">
        <v>139</v>
      </c>
      <c r="B58" s="22">
        <v>36680.428136574075</v>
      </c>
      <c r="C58" s="5" t="s">
        <v>142</v>
      </c>
      <c r="D58" s="23">
        <v>24</v>
      </c>
    </row>
    <row r="59" spans="1:5">
      <c r="A59" s="5" t="s">
        <v>137</v>
      </c>
      <c r="B59" s="22">
        <v>36711.428136574075</v>
      </c>
      <c r="C59" s="5" t="s">
        <v>142</v>
      </c>
      <c r="D59" s="23">
        <v>14</v>
      </c>
    </row>
    <row r="60" spans="1:5">
      <c r="A60" s="5" t="s">
        <v>146</v>
      </c>
      <c r="B60" s="22">
        <v>36711.428136574075</v>
      </c>
      <c r="C60" s="5" t="s">
        <v>143</v>
      </c>
      <c r="D60" s="23">
        <v>14</v>
      </c>
    </row>
    <row r="61" spans="1:5">
      <c r="A61" s="5" t="s">
        <v>141</v>
      </c>
      <c r="B61" s="22">
        <v>36714.428136574075</v>
      </c>
      <c r="C61" s="5" t="s">
        <v>142</v>
      </c>
      <c r="D61" s="23">
        <v>20</v>
      </c>
    </row>
    <row r="62" spans="1:5">
      <c r="A62" s="5" t="s">
        <v>146</v>
      </c>
      <c r="B62" s="22">
        <v>36714.428136574075</v>
      </c>
      <c r="C62" s="5" t="s">
        <v>140</v>
      </c>
      <c r="D62" s="23">
        <v>63</v>
      </c>
    </row>
    <row r="63" spans="1:5">
      <c r="A63" s="5" t="s">
        <v>137</v>
      </c>
      <c r="B63" s="22">
        <v>36686.428136574075</v>
      </c>
      <c r="C63" s="5" t="s">
        <v>145</v>
      </c>
      <c r="D63" s="23">
        <v>56</v>
      </c>
    </row>
    <row r="65" spans="5:10">
      <c r="H65" s="26" t="s">
        <v>147</v>
      </c>
    </row>
    <row r="66" spans="5:10" ht="93.6">
      <c r="J66" s="25" t="s">
        <v>148</v>
      </c>
    </row>
    <row r="68" spans="5:10">
      <c r="E68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IF - Statement</vt:lpstr>
      <vt:lpstr>VLOOKUP</vt:lpstr>
      <vt:lpstr>Split &amp; Trim</vt:lpstr>
      <vt:lpstr>Concatenate</vt:lpstr>
      <vt:lpstr>Pivottable &amp; Pivotchat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Abdulraheem Abdullahi</dc:creator>
  <cp:lastModifiedBy>Abdulraheem Abdullahi</cp:lastModifiedBy>
  <dcterms:created xsi:type="dcterms:W3CDTF">2026-06-19T02:09:30Z</dcterms:created>
  <dcterms:modified xsi:type="dcterms:W3CDTF">2026-06-19T03:27:02Z</dcterms:modified>
</cp:coreProperties>
</file>